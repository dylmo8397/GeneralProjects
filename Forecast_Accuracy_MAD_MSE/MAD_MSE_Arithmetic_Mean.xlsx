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94faaf27434f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ithmetic Mean" sheetId="1" r:id="R1eeaf069c39643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0.0000"/>
  </x:numFmts>
  <x:fonts count="7">
    <x:font>
      <x:sz val="11"/>
      <x:name val="Carlito"/>
    </x:font>
    <x:font>
      <x:b/>
      <x:sz val="18"/>
      <x:color rgb="FF5C5572"/>
      <x:name val="Arial"/>
    </x:font>
    <x:font>
      <x:i/>
      <x:sz val="10"/>
      <x:color rgb="FF595959"/>
      <x:name val="Arial"/>
    </x:font>
    <x:font>
      <x:b/>
      <x:sz val="11"/>
      <x:color rgb="FFFFFFFF"/>
      <x:name val="Arial"/>
    </x:font>
    <x:font>
      <x:sz val="11"/>
      <x:color rgb="FF222222"/>
      <x:name val="Arial"/>
    </x:font>
    <x:font>
      <x:b/>
      <x:sz val="11"/>
      <x:color rgb="FF222222"/>
      <x:name val="Arial"/>
    </x:font>
    <x:font>
      <x:i/>
      <x:sz val="9"/>
      <x:color rgb="FF666666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6F658C"/>
      </x:patternFill>
    </x:fill>
    <x:fill>
      <x:patternFill patternType="solid">
        <x:fgColor rgb="FFFFF2CC"/>
      </x:patternFill>
    </x:fill>
    <x:fill>
      <x:patternFill patternType="solid">
        <x:fgColor rgb="FFF4F3F7"/>
      </x:patternFill>
    </x:fill>
    <x:fill>
      <x:patternFill patternType="solid">
        <x:fgColor rgb="FFDDD9E7"/>
      </x:patternFill>
    </x:fill>
    <x:fill>
      <x:patternFill patternType="solid">
        <x:fgColor rgb="FFE7F1F5"/>
      </x:patternFill>
    </x:fill>
  </x:fills>
  <x:borders count="13">
    <x:border/>
    <x:border>
      <x:left style="thin">
        <x:color rgb="FF6F658C"/>
      </x:left>
      <x:top style="thin">
        <x:color rgb="FF6F658C"/>
      </x:top>
      <x:bottom style="thin">
        <x:color rgb="FF6F658C"/>
      </x:bottom>
    </x:border>
    <x:border>
      <x:top style="thin">
        <x:color rgb="FF6F658C"/>
      </x:top>
      <x:bottom style="thin">
        <x:color rgb="FF6F658C"/>
      </x:bottom>
    </x:border>
    <x:border>
      <x:right style="thin">
        <x:color rgb="FF6F658C"/>
      </x:right>
      <x:top style="thin">
        <x:color rgb="FF6F658C"/>
      </x:top>
      <x:bottom style="thin">
        <x:color rgb="FF6F658C"/>
      </x:bottom>
    </x:border>
    <x:border>
      <x:bottom style="thin">
        <x:color rgb="FFC9C6D2"/>
      </x:bottom>
    </x:border>
    <x:border>
      <x:top style="thin">
        <x:color rgb="FFC9C6D2"/>
      </x:top>
      <x:bottom style="thin">
        <x:color rgb="FFC9C6D2"/>
      </x:bottom>
    </x:border>
    <x:border>
      <x:top style="medium">
        <x:color rgb="FF6F658C"/>
      </x:top>
      <x:bottom style="double">
        <x:color rgb="FF6F658C"/>
      </x:bottom>
    </x:border>
    <x:border>
      <x:left style="thin">
        <x:color rgb="FFA9BBC3"/>
      </x:left>
      <x:top style="thin">
        <x:color rgb="FFA9BBC3"/>
      </x:top>
    </x:border>
    <x:border>
      <x:right style="thin">
        <x:color rgb="FFA9BBC3"/>
      </x:right>
      <x:top style="thin">
        <x:color rgb="FFA9BBC3"/>
      </x:top>
    </x:border>
    <x:border>
      <x:left style="thin">
        <x:color rgb="FFA9BBC3"/>
      </x:left>
    </x:border>
    <x:border>
      <x:right style="thin">
        <x:color rgb="FFA9BBC3"/>
      </x:right>
    </x:border>
    <x:border>
      <x:left style="thin">
        <x:color rgb="FFA9BBC3"/>
      </x:left>
      <x:bottom style="thin">
        <x:color rgb="FFA9BBC3"/>
      </x:bottom>
    </x:border>
    <x:border>
      <x:right style="thin">
        <x:color rgb="FFA9BBC3"/>
      </x:right>
      <x:bottom style="thin">
        <x:color rgb="FFA9BBC3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4" fillId="4" borderId="0" xfId="0" applyNumberFormat="1" applyFont="1" applyFill="1" applyBorder="1"/>
    <x:xf numFmtId="0" fontId="4" fillId="0" borderId="4" xfId="0" applyNumberFormat="1" applyFont="1" applyFill="1" applyBorder="1" applyAlignment="1">
      <x:alignment horizontal="center"/>
    </x:xf>
    <x:xf numFmtId="0" fontId="4" fillId="3" borderId="4" xfId="0" applyNumberFormat="1" applyFont="1" applyFill="1" applyBorder="1"/>
    <x:xf numFmtId="0" fontId="4" fillId="4" borderId="4" xfId="0" applyNumberFormat="1" applyFont="1" applyFill="1" applyBorder="1"/>
    <x:xf numFmtId="0" fontId="4" fillId="0" borderId="5" xfId="0" applyNumberFormat="1" applyFont="1" applyFill="1" applyBorder="1" applyAlignment="1">
      <x:alignment horizontal="center"/>
    </x:xf>
    <x:xf numFmtId="0" fontId="4" fillId="3" borderId="5" xfId="0" applyNumberFormat="1" applyFont="1" applyFill="1" applyBorder="1"/>
    <x:xf numFmtId="0" fontId="4" fillId="4" borderId="5" xfId="0" applyNumberFormat="1" applyFont="1" applyFill="1" applyBorder="1"/>
    <x:xf numFmtId="0" fontId="4" fillId="0" borderId="5" xfId="0" applyNumberFormat="1" applyFont="1" applyFill="1" applyBorder="1"/>
    <x:xf numFmtId="0" fontId="4" fillId="5" borderId="5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/>
    <x:xf numFmtId="0" fontId="5" fillId="5" borderId="5" xfId="0" applyNumberFormat="1" applyFont="1" applyFill="1" applyBorder="1" applyAlignment="1">
      <x:alignment horizontal="center"/>
    </x:xf>
    <x:xf numFmtId="0" fontId="5" fillId="5" borderId="5" xfId="0" applyNumberFormat="1" applyFont="1" applyFill="1" applyBorder="1"/>
    <x:xf numFmtId="0" fontId="5" fillId="5" borderId="6" xfId="0" applyNumberFormat="1" applyFont="1" applyFill="1" applyBorder="1" applyAlignment="1">
      <x:alignment horizontal="center"/>
    </x:xf>
    <x:xf numFmtId="0" fontId="5" fillId="5" borderId="6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9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5" fillId="6" borderId="7" xfId="0" applyNumberFormat="1" applyFont="1" applyFill="1" applyBorder="1"/>
    <x:xf numFmtId="0" fontId="5" fillId="6" borderId="9" xfId="0" applyNumberFormat="1" applyFont="1" applyFill="1" applyBorder="1"/>
    <x:xf numFmtId="0" fontId="6" fillId="0" borderId="0" xfId="0" applyNumberFormat="1" applyFont="1" applyFill="1" applyBorder="1"/>
    <x:xf numFmtId="200" fontId="4" fillId="0" borderId="4" xfId="0" applyNumberFormat="1" applyFont="1" applyFill="1" applyBorder="1" applyAlignment="1">
      <x:alignment horizontal="center"/>
    </x:xf>
    <x:xf numFmtId="200" fontId="4" fillId="0" borderId="5" xfId="0" applyNumberFormat="1" applyFont="1" applyFill="1" applyBorder="1" applyAlignment="1">
      <x:alignment horizontal="center"/>
    </x:xf>
    <x:xf numFmtId="200" fontId="5" fillId="5" borderId="6" xfId="0" applyNumberFormat="1" applyFont="1" applyFill="1" applyBorder="1" applyAlignment="1">
      <x:alignment horizontal="center"/>
    </x:xf>
    <x:xf numFmtId="201" fontId="4" fillId="3" borderId="4" xfId="0" applyNumberFormat="1" applyFont="1" applyFill="1" applyBorder="1"/>
    <x:xf numFmtId="201" fontId="4" fillId="3" borderId="5" xfId="0" applyNumberFormat="1" applyFont="1" applyFill="1" applyBorder="1"/>
    <x:xf numFmtId="201" fontId="5" fillId="5" borderId="6" xfId="0" applyNumberFormat="1" applyFont="1" applyFill="1" applyBorder="1"/>
    <x:xf numFmtId="201" fontId="4" fillId="4" borderId="4" xfId="0" applyNumberFormat="1" applyFont="1" applyFill="1" applyBorder="1"/>
    <x:xf numFmtId="201" fontId="4" fillId="4" borderId="5" xfId="0" applyNumberFormat="1" applyFont="1" applyFill="1" applyBorder="1"/>
    <x:xf numFmtId="202" fontId="4" fillId="6" borderId="8" xfId="0" applyNumberFormat="1" applyFont="1" applyFill="1" applyBorder="1"/>
    <x:xf numFmtId="202" fontId="4" fillId="6" borderId="10" xfId="0" applyNumberFormat="1" applyFont="1" applyFill="1" applyBorder="1"/>
    <x:xf numFmtId="200" fontId="4" fillId="6" borderId="12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200" fontId="4" fillId="0" borderId="4" xfId="0" applyNumberFormat="1" applyFont="1" applyFill="1" applyBorder="1" applyAlignment="1">
      <x:alignment horizontal="center" vertical="center"/>
    </x:xf>
    <x:xf numFmtId="201" fontId="4" fillId="3" borderId="4" xfId="0" applyNumberFormat="1" applyFont="1" applyFill="1" applyBorder="1" applyAlignment="1">
      <x:alignment vertical="center"/>
    </x:xf>
    <x:xf numFmtId="201" fontId="4" fillId="4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horizontal="center" vertical="center"/>
    </x:xf>
    <x:xf numFmtId="201" fontId="4" fillId="3" borderId="5" xfId="0" applyNumberFormat="1" applyFont="1" applyFill="1" applyBorder="1" applyAlignment="1">
      <x:alignment vertical="center"/>
    </x:xf>
    <x:xf numFmtId="201" fontId="4" fillId="4" borderId="5" xfId="0" applyNumberFormat="1" applyFont="1" applyFill="1" applyBorder="1" applyAlignment="1">
      <x:alignment vertical="center"/>
    </x:xf>
    <x:xf numFmtId="200" fontId="5" fillId="5" borderId="6" xfId="0" applyNumberFormat="1" applyFont="1" applyFill="1" applyBorder="1" applyAlignment="1">
      <x:alignment horizontal="center" vertical="center"/>
    </x:xf>
    <x:xf numFmtId="201" fontId="5" fillId="5" borderId="6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5" fillId="6" borderId="7" xfId="0" applyNumberFormat="1" applyFont="1" applyFill="1" applyBorder="1" applyAlignment="1">
      <x:alignment vertical="center"/>
    </x:xf>
    <x:xf numFmtId="202" fontId="4" fillId="6" borderId="8" xfId="0" applyNumberFormat="1" applyFont="1" applyFill="1" applyBorder="1" applyAlignment="1">
      <x:alignment vertical="center"/>
    </x:xf>
    <x:xf numFmtId="0" fontId="5" fillId="6" borderId="9" xfId="0" applyNumberFormat="1" applyFont="1" applyFill="1" applyBorder="1" applyAlignment="1">
      <x:alignment vertical="center"/>
    </x:xf>
    <x:xf numFmtId="202" fontId="4" fillId="6" borderId="10" xfId="0" applyNumberFormat="1" applyFont="1" applyFill="1" applyBorder="1" applyAlignment="1">
      <x:alignment vertical="center"/>
    </x:xf>
    <x:xf numFmtId="0" fontId="4" fillId="6" borderId="11" xfId="0" applyNumberFormat="1" applyFont="1" applyFill="1" applyBorder="1" applyAlignment="1">
      <x:alignment vertical="center"/>
    </x:xf>
    <x:xf numFmtId="200" fontId="4" fillId="6" borderId="12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1c9e8ba45e48ce" /><Relationship Type="http://schemas.openxmlformats.org/officeDocument/2006/relationships/theme" Target="/xl/theme/theme1.xml" Id="R0dde7a2b06884851" /><Relationship Type="http://schemas.openxmlformats.org/officeDocument/2006/relationships/sharedStrings" Target="/xl/sharedStrings.xml" Id="Re7335b194eb54f46" /><Relationship Type="http://schemas.openxmlformats.org/officeDocument/2006/relationships/worksheet" Target="/xl/worksheets/sheet1.xml" Id="R1eeaf069c39643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15" hidden="0" customWidth="1"/>
    <x:col min="5" max="5" width="22" hidden="0" customWidth="1"/>
    <x:col min="6" max="6" width="22" hidden="0" customWidth="1"/>
  </x:cols>
  <x:sheetData>
    <x:row r="1" ht="30" customHeight="1">
      <x:c r="A1" s="58" t="str">
        <x:v>Forecast Accuracy Using the Arithmetic Mean</x:v>
      </x:c>
      <x:c r="B1" s="59"/>
      <x:c r="C1" s="59"/>
      <x:c r="D1" s="59"/>
      <x:c r="E1" s="59"/>
      <x:c r="F1" s="59"/>
    </x:row>
    <x:row r="2" ht="24" customHeight="1">
      <x:c r="A2" s="60" t="str">
        <x:v>Forecasts use the arithmetic mean of all prior observed demand. Error is Dₜ − Fₜ.</x:v>
      </x:c>
      <x:c r="B2" s="60"/>
      <x:c r="C2" s="60"/>
      <x:c r="D2" s="60"/>
      <x:c r="E2" s="60"/>
      <x:c r="F2" s="60"/>
    </x:row>
    <x:row r="3" ht="22" customHeight="1">
      <x:c r="A3" s="59"/>
      <x:c r="B3" s="59"/>
      <x:c r="C3" s="59"/>
      <x:c r="D3" s="59"/>
      <x:c r="E3" s="59"/>
      <x:c r="F3" s="59"/>
    </x:row>
    <x:row r="4" ht="34" customHeight="1">
      <x:c r="A4" s="15" t="str">
        <x:v>Period (t)</x:v>
      </x:c>
      <x:c r="B4" s="16" t="str">
        <x:v>Demand (Dₜ)</x:v>
      </x:c>
      <x:c r="C4" s="16" t="str">
        <x:v>Forecast (Fₜ)</x:v>
      </x:c>
      <x:c r="D4" s="16" t="str">
        <x:v>Error (eₜ)</x:v>
      </x:c>
      <x:c r="E4" s="16" t="str">
        <x:v>Absolute error |eₜ|</x:v>
      </x:c>
      <x:c r="F4" s="17" t="str">
        <x:v>Squared error eₜ²</x:v>
      </x:c>
    </x:row>
    <x:row r="5" ht="22" customHeight="1">
      <x:c r="A5" s="61" t="n">
        <x:v>1</x:v>
      </x:c>
      <x:c r="B5" s="62" t="n">
        <x:v>9</x:v>
      </x:c>
      <x:c r="C5" s="63"/>
      <x:c r="D5" s="63"/>
      <x:c r="E5" s="63"/>
      <x:c r="F5" s="63"/>
    </x:row>
    <x:row r="6" ht="22" customHeight="1">
      <x:c r="A6" s="64" t="n">
        <x:v>2</x:v>
      </x:c>
      <x:c r="B6" s="65" t="n">
        <x:v>8</x:v>
      </x:c>
      <x:c r="C6" s="66" t="n">
        <x:f>AVERAGE($B$5:B5)</x:f>
        <x:v>9</x:v>
      </x:c>
      <x:c r="D6" s="66" t="n">
        <x:f>B6-C6</x:f>
        <x:v>-1</x:v>
      </x:c>
      <x:c r="E6" s="66" t="n">
        <x:f>ABS(D6)</x:f>
        <x:v>1</x:v>
      </x:c>
      <x:c r="F6" s="66" t="n">
        <x:f>D6^2</x:f>
        <x:v>1</x:v>
      </x:c>
    </x:row>
    <x:row r="7" ht="22" customHeight="1">
      <x:c r="A7" s="64" t="n">
        <x:v>3</x:v>
      </x:c>
      <x:c r="B7" s="65" t="n">
        <x:v>9</x:v>
      </x:c>
      <x:c r="C7" s="66" t="n">
        <x:f>AVERAGE($B$5:B6)</x:f>
        <x:v>8.5</x:v>
      </x:c>
      <x:c r="D7" s="66" t="n">
        <x:f>B7-C7</x:f>
        <x:v>0.5</x:v>
      </x:c>
      <x:c r="E7" s="66" t="n">
        <x:f>ABS(D7)</x:f>
        <x:v>0.5</x:v>
      </x:c>
      <x:c r="F7" s="66" t="n">
        <x:f>D7^2</x:f>
        <x:v>0.25</x:v>
      </x:c>
    </x:row>
    <x:row r="8" ht="22" customHeight="1">
      <x:c r="A8" s="64" t="n">
        <x:v>4</x:v>
      </x:c>
      <x:c r="B8" s="65" t="n">
        <x:v>12</x:v>
      </x:c>
      <x:c r="C8" s="66" t="n">
        <x:f>AVERAGE($B$5:B7)</x:f>
        <x:v>8.666666666666666</x:v>
      </x:c>
      <x:c r="D8" s="66" t="n">
        <x:f>B8-C8</x:f>
        <x:v>3.333333333333334</x:v>
      </x:c>
      <x:c r="E8" s="66" t="n">
        <x:f>ABS(D8)</x:f>
        <x:v>3.333333333333334</x:v>
      </x:c>
      <x:c r="F8" s="66" t="n">
        <x:f>D8^2</x:f>
        <x:v>11.111111111111114</x:v>
      </x:c>
    </x:row>
    <x:row r="9" ht="22" customHeight="1">
      <x:c r="A9" s="64" t="n">
        <x:v>5</x:v>
      </x:c>
      <x:c r="B9" s="65" t="n">
        <x:v>9</x:v>
      </x:c>
      <x:c r="C9" s="66" t="n">
        <x:f>AVERAGE($B$5:B8)</x:f>
        <x:v>9.5</x:v>
      </x:c>
      <x:c r="D9" s="66" t="n">
        <x:f>B9-C9</x:f>
        <x:v>-0.5</x:v>
      </x:c>
      <x:c r="E9" s="66" t="n">
        <x:f>ABS(D9)</x:f>
        <x:v>0.5</x:v>
      </x:c>
      <x:c r="F9" s="66" t="n">
        <x:f>D9^2</x:f>
        <x:v>0.25</x:v>
      </x:c>
    </x:row>
    <x:row r="10" ht="22" customHeight="1">
      <x:c r="A10" s="64" t="n">
        <x:v>6</x:v>
      </x:c>
      <x:c r="B10" s="65" t="n">
        <x:v>12</x:v>
      </x:c>
      <x:c r="C10" s="66" t="n">
        <x:f>AVERAGE($B$5:B9)</x:f>
        <x:v>9.4</x:v>
      </x:c>
      <x:c r="D10" s="66" t="n">
        <x:f>B10-C10</x:f>
        <x:v>2.5999999999999996</x:v>
      </x:c>
      <x:c r="E10" s="66" t="n">
        <x:f>ABS(D10)</x:f>
        <x:v>2.5999999999999996</x:v>
      </x:c>
      <x:c r="F10" s="66" t="n">
        <x:f>D10^2</x:f>
        <x:v>6.759999999999998</x:v>
      </x:c>
    </x:row>
    <x:row r="11" ht="22" customHeight="1">
      <x:c r="A11" s="64" t="n">
        <x:v>7</x:v>
      </x:c>
      <x:c r="B11" s="65" t="n">
        <x:v>11</x:v>
      </x:c>
      <x:c r="C11" s="66" t="n">
        <x:f>AVERAGE($B$5:B10)</x:f>
        <x:v>9.833333333333334</x:v>
      </x:c>
      <x:c r="D11" s="66" t="n">
        <x:f>B11-C11</x:f>
        <x:v>1.166666666666666</x:v>
      </x:c>
      <x:c r="E11" s="66" t="n">
        <x:f>ABS(D11)</x:f>
        <x:v>1.166666666666666</x:v>
      </x:c>
      <x:c r="F11" s="66" t="n">
        <x:f>D11^2</x:f>
        <x:v>1.3611111111111098</x:v>
      </x:c>
    </x:row>
    <x:row r="12" ht="22" customHeight="1">
      <x:c r="A12" s="64" t="n">
        <x:v>8</x:v>
      </x:c>
      <x:c r="B12" s="65" t="n">
        <x:v>7</x:v>
      </x:c>
      <x:c r="C12" s="66" t="n">
        <x:f>AVERAGE($B$5:B11)</x:f>
        <x:v>10</x:v>
      </x:c>
      <x:c r="D12" s="66" t="n">
        <x:f>B12-C12</x:f>
        <x:v>-3</x:v>
      </x:c>
      <x:c r="E12" s="66" t="n">
        <x:f>ABS(D12)</x:f>
        <x:v>3</x:v>
      </x:c>
      <x:c r="F12" s="66" t="n">
        <x:f>D12^2</x:f>
        <x:v>9</x:v>
      </x:c>
    </x:row>
    <x:row r="13" ht="22" customHeight="1">
      <x:c r="A13" s="64" t="n">
        <x:v>9</x:v>
      </x:c>
      <x:c r="B13" s="65" t="n">
        <x:v>13</x:v>
      </x:c>
      <x:c r="C13" s="66" t="n">
        <x:f>AVERAGE($B$5:B12)</x:f>
        <x:v>9.625</x:v>
      </x:c>
      <x:c r="D13" s="66" t="n">
        <x:f>B13-C13</x:f>
        <x:v>3.375</x:v>
      </x:c>
      <x:c r="E13" s="66" t="n">
        <x:f>ABS(D13)</x:f>
        <x:v>3.375</x:v>
      </x:c>
      <x:c r="F13" s="66" t="n">
        <x:f>D13^2</x:f>
        <x:v>11.390625</x:v>
      </x:c>
    </x:row>
    <x:row r="14" ht="22" customHeight="1">
      <x:c r="A14" s="64" t="n">
        <x:v>10</x:v>
      </x:c>
      <x:c r="B14" s="65" t="n">
        <x:v>9</x:v>
      </x:c>
      <x:c r="C14" s="66" t="n">
        <x:f>AVERAGE($B$5:B13)</x:f>
        <x:v>10</x:v>
      </x:c>
      <x:c r="D14" s="66" t="n">
        <x:f>B14-C14</x:f>
        <x:v>-1</x:v>
      </x:c>
      <x:c r="E14" s="66" t="n">
        <x:f>ABS(D14)</x:f>
        <x:v>1</x:v>
      </x:c>
      <x:c r="F14" s="66" t="n">
        <x:f>D14^2</x:f>
        <x:v>1</x:v>
      </x:c>
    </x:row>
    <x:row r="15" ht="22" customHeight="1">
      <x:c r="A15" s="64" t="n">
        <x:v>11</x:v>
      </x:c>
      <x:c r="B15" s="65" t="n">
        <x:v>11</x:v>
      </x:c>
      <x:c r="C15" s="66" t="n">
        <x:f>AVERAGE($B$5:B14)</x:f>
        <x:v>9.9</x:v>
      </x:c>
      <x:c r="D15" s="66" t="n">
        <x:f>B15-C15</x:f>
        <x:v>1.0999999999999996</x:v>
      </x:c>
      <x:c r="E15" s="66" t="n">
        <x:f>ABS(D15)</x:f>
        <x:v>1.0999999999999996</x:v>
      </x:c>
      <x:c r="F15" s="66" t="n">
        <x:f>D15^2</x:f>
        <x:v>1.2099999999999993</x:v>
      </x:c>
    </x:row>
    <x:row r="16" ht="22" customHeight="1">
      <x:c r="A16" s="64" t="n">
        <x:v>12</x:v>
      </x:c>
      <x:c r="B16" s="65" t="n">
        <x:v>10</x:v>
      </x:c>
      <x:c r="C16" s="66" t="n">
        <x:f>AVERAGE($B$5:B15)</x:f>
        <x:v>10</x:v>
      </x:c>
      <x:c r="D16" s="66" t="n">
        <x:f>B16-C16</x:f>
        <x:v>0</x:v>
      </x:c>
      <x:c r="E16" s="66" t="n">
        <x:f>ABS(D16)</x:f>
        <x:v>0</x:v>
      </x:c>
      <x:c r="F16" s="66" t="n">
        <x:f>D16^2</x:f>
        <x:v>0</x:v>
      </x:c>
    </x:row>
    <x:row r="17" ht="22" customHeight="1">
      <x:c r="A17" s="67" t="str">
        <x:v>Sum</x:v>
      </x:c>
      <x:c r="B17" s="68" t="n">
        <x:f>SUM(B5:B16)</x:f>
        <x:v>120</x:v>
      </x:c>
      <x:c r="C17" s="68" t="n">
        <x:f>SUM(C6:C16)</x:f>
        <x:v>104.42500000000001</x:v>
      </x:c>
      <x:c r="D17" s="68" t="n">
        <x:f>SUM(D6:D16)</x:f>
        <x:v>6.574999999999999</x:v>
      </x:c>
      <x:c r="E17" s="68" t="n">
        <x:f>SUM(E6:E16)</x:f>
        <x:v>17.575000000000003</x:v>
      </x:c>
      <x:c r="F17" s="68" t="n">
        <x:f>SUM(F6:F16)</x:f>
        <x:v>43.33284722222222</x:v>
      </x:c>
    </x:row>
    <x:row r="18" ht="22" customHeight="1">
      <x:c r="A18" s="59"/>
      <x:c r="B18" s="59"/>
      <x:c r="C18" s="59"/>
      <x:c r="D18" s="59"/>
      <x:c r="E18" s="59"/>
      <x:c r="F18" s="59"/>
    </x:row>
    <x:row r="19" ht="22" customHeight="1">
      <x:c r="A19" s="59"/>
      <x:c r="B19" s="59"/>
      <x:c r="C19" s="59"/>
      <x:c r="D19" s="59"/>
      <x:c r="E19" s="59"/>
      <x:c r="F19" s="59"/>
    </x:row>
    <x:row r="20" ht="22" customHeight="1">
      <x:c r="A20" s="69" t="str">
        <x:v>Accuracy measure</x:v>
      </x:c>
      <x:c r="B20" s="69" t="str">
        <x:v>Value</x:v>
      </x:c>
      <x:c r="C20" s="59"/>
      <x:c r="D20" s="59"/>
      <x:c r="E20" s="59"/>
      <x:c r="F20" s="59"/>
    </x:row>
    <x:row r="21" ht="22" customHeight="1">
      <x:c r="A21" s="70" t="str">
        <x:v>MAD</x:v>
      </x:c>
      <x:c r="B21" s="71" t="n">
        <x:f>AVERAGE(E6:E16)</x:f>
        <x:v>1.5977272727272729</x:v>
      </x:c>
      <x:c r="C21" s="59"/>
      <x:c r="D21" s="59"/>
      <x:c r="E21" s="59"/>
      <x:c r="F21" s="59"/>
    </x:row>
    <x:row r="22" ht="22" customHeight="1">
      <x:c r="A22" s="72" t="str">
        <x:v>MSE</x:v>
      </x:c>
      <x:c r="B22" s="73" t="n">
        <x:f>AVERAGE(F6:F16)</x:f>
        <x:v>3.9393497474747474</x:v>
      </x:c>
      <x:c r="C22" s="59"/>
      <x:c r="D22" s="59"/>
      <x:c r="E22" s="59"/>
      <x:c r="F22" s="59"/>
    </x:row>
    <x:row r="23" ht="22" customHeight="1">
      <x:c r="A23" s="74" t="str">
        <x:v>Forecast periods</x:v>
      </x:c>
      <x:c r="B23" s="75" t="n">
        <x:f>COUNT(C6:C16)</x:f>
        <x:v>11</x:v>
      </x:c>
      <x:c r="C23" s="59"/>
      <x:c r="D23" s="59"/>
      <x:c r="E23" s="59"/>
      <x:c r="F23" s="59"/>
    </x:row>
    <x:row r="24" ht="22" customHeight="1">
      <x:c r="A24" s="59"/>
      <x:c r="B24" s="59"/>
      <x:c r="C24" s="59"/>
      <x:c r="D24" s="59"/>
      <x:c r="E24" s="59"/>
      <x:c r="F24" s="59"/>
    </x:row>
    <x:row r="25" ht="22" customHeight="1">
      <x:c r="A25" s="59"/>
      <x:c r="B25" s="59"/>
      <x:c r="C25" s="59"/>
      <x:c r="D25" s="59"/>
      <x:c r="E25" s="59"/>
      <x:c r="F25" s="59"/>
    </x:row>
    <x:row r="26" ht="22" customHeight="1">
      <x:c r="A26" s="76" t="str">
        <x:v>Source: user-provided screenshot, “Using Arithmetic Mean.”</x:v>
      </x:c>
      <x:c r="B26" s="76"/>
      <x:c r="C26" s="76"/>
      <x:c r="D26" s="76"/>
      <x:c r="E26" s="76"/>
      <x:c r="F26" s="76"/>
    </x:row>
  </x:sheetData>
  <x:mergeCells>
    <x:mergeCell ref="A2:F2"/>
  </x:mergeCells>
  <x:pageMargins left="0.7" right="0.7" top="0.75" bottom="0.75" header="0.3" footer="0.3"/>
</x:worksheet>
</file>